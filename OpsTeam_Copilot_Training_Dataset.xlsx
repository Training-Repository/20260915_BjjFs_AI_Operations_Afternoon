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P Register" sheetId="2" state="visible" r:id="rId4"/>
    <sheet name="Incident Log" sheetId="3" state="visible" r:id="rId5"/>
    <sheet name="Ops Performance Report" sheetId="4" state="visible" r:id="rId6"/>
    <sheet name="Workflow Analysis" sheetId="5" state="visible" r:id="rId7"/>
    <sheet name="Stakeholder Comms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<sst xmlns="http://schemas.openxmlformats.org/spreadsheetml/2006/main" count="433" uniqueCount="310">
  <si>
    <t xml:space="preserve">📖 Dataset Guide — Ops Team M365 Copilot Training | Technizer Edge</t>
  </si>
  <si>
    <t xml:space="preserve">Sheet</t>
  </si>
  <si>
    <t xml:space="preserve">Contents</t>
  </si>
  <si>
    <t xml:space="preserve">Use Case</t>
  </si>
  <si>
    <t xml:space="preserve">Key Copilot Demo</t>
  </si>
  <si>
    <t xml:space="preserve">SOP Register</t>
  </si>
  <si>
    <t xml:space="preserve">12 SOPs with owner, version, review dates, compliance risk</t>
  </si>
  <si>
    <t xml:space="preserve">SOP Creation &amp; Documentation</t>
  </si>
  <si>
    <t xml:space="preserve">Draft SOP review summaries, flag overdue SOPs, generate SOP templates</t>
  </si>
  <si>
    <t xml:space="preserve">Incident Log</t>
  </si>
  <si>
    <t xml:space="preserve">12 operational incidents with severity, root cause, impact</t>
  </si>
  <si>
    <t xml:space="preserve">Incident Analysis</t>
  </si>
  <si>
    <t xml:space="preserve">Summarise incidents, identify root cause patterns, draft RCA reports</t>
  </si>
  <si>
    <t xml:space="preserve">Ops Performance Report</t>
  </si>
  <si>
    <t xml:space="preserve">Monthly KPIs: transactions, SLA, FTR, errors, complaints</t>
  </si>
  <si>
    <t xml:space="preserve">Operational Reporting</t>
  </si>
  <si>
    <t xml:space="preserve">Generate monthly ops commentary, compare to targets, draft management report</t>
  </si>
  <si>
    <t xml:space="preserve">Workflow Analysis</t>
  </si>
  <si>
    <t xml:space="preserve">12 processes with manual/auto steps, cycle time, bottlenecks</t>
  </si>
  <si>
    <t xml:space="preserve">Workflow Optimization</t>
  </si>
  <si>
    <t xml:space="preserve">Identify inefficiency hotspots, prioritise automation, suggest improvements</t>
  </si>
  <si>
    <t xml:space="preserve">Stakeholder Comms Log</t>
  </si>
  <si>
    <t xml:space="preserve">10 internal communications with audience, action, status</t>
  </si>
  <si>
    <t xml:space="preserve">Operational Communication</t>
  </si>
  <si>
    <t xml:space="preserve">Draft status updates, escalation notices, management reports</t>
  </si>
  <si>
    <t xml:space="preserve">📋 SOP Register — Operations Team | FY2026-27</t>
  </si>
  <si>
    <t xml:space="preserve">SOP ID</t>
  </si>
  <si>
    <t xml:space="preserve">Process Name</t>
  </si>
  <si>
    <t xml:space="preserve">Department</t>
  </si>
  <si>
    <t xml:space="preserve">Owner</t>
  </si>
  <si>
    <t xml:space="preserve">Version</t>
  </si>
  <si>
    <t xml:space="preserve">Last Reviewed</t>
  </si>
  <si>
    <t xml:space="preserve">Review Due</t>
  </si>
  <si>
    <t xml:space="preserve">Status</t>
  </si>
  <si>
    <t xml:space="preserve">Compliance Risk</t>
  </si>
  <si>
    <t xml:space="preserve">SOP-OPS-001</t>
  </si>
  <si>
    <t xml:space="preserve">Customer Onboarding – KYC Verification</t>
  </si>
  <si>
    <t xml:space="preserve">Operations</t>
  </si>
  <si>
    <t xml:space="preserve">Priya Nair</t>
  </si>
  <si>
    <t xml:space="preserve">v3.1</t>
  </si>
  <si>
    <t xml:space="preserve">Jan 2026</t>
  </si>
  <si>
    <t xml:space="preserve">Jul 2026</t>
  </si>
  <si>
    <t xml:space="preserve">Active</t>
  </si>
  <si>
    <t xml:space="preserve">High</t>
  </si>
  <si>
    <t xml:space="preserve">SOP-OPS-002</t>
  </si>
  <si>
    <t xml:space="preserve">Loan Disbursement Processing</t>
  </si>
  <si>
    <t xml:space="preserve">Lending Ops</t>
  </si>
  <si>
    <t xml:space="preserve">Rahul Mehta</t>
  </si>
  <si>
    <t xml:space="preserve">v2.4</t>
  </si>
  <si>
    <t xml:space="preserve">Feb 2026</t>
  </si>
  <si>
    <t xml:space="preserve">Aug 2026</t>
  </si>
  <si>
    <t xml:space="preserve">SOP-OPS-003</t>
  </si>
  <si>
    <t xml:space="preserve">EMI Collection &amp; Bounce Handling</t>
  </si>
  <si>
    <t xml:space="preserve">Collections</t>
  </si>
  <si>
    <t xml:space="preserve">Sneha Kulkarni</t>
  </si>
  <si>
    <t xml:space="preserve">v1.8</t>
  </si>
  <si>
    <t xml:space="preserve">Dec 2025</t>
  </si>
  <si>
    <t xml:space="preserve">Jun 2026</t>
  </si>
  <si>
    <t xml:space="preserve">Under Review</t>
  </si>
  <si>
    <t xml:space="preserve">SOP-OPS-004</t>
  </si>
  <si>
    <t xml:space="preserve">Vendor Invoice Approval &amp; Payment</t>
  </si>
  <si>
    <t xml:space="preserve">Finance Ops</t>
  </si>
  <si>
    <t xml:space="preserve">Amit Joshi</t>
  </si>
  <si>
    <t xml:space="preserve">v2.0</t>
  </si>
  <si>
    <t xml:space="preserve">Mar 2026</t>
  </si>
  <si>
    <t xml:space="preserve">Sep 2026</t>
  </si>
  <si>
    <t xml:space="preserve">Medium</t>
  </si>
  <si>
    <t xml:space="preserve">SOP-OPS-005</t>
  </si>
  <si>
    <t xml:space="preserve">IT Incident Escalation Procedure</t>
  </si>
  <si>
    <t xml:space="preserve">IT Operations</t>
  </si>
  <si>
    <t xml:space="preserve">Kiran Patil</t>
  </si>
  <si>
    <t xml:space="preserve">v1.5</t>
  </si>
  <si>
    <t xml:space="preserve">Nov 2025</t>
  </si>
  <si>
    <t xml:space="preserve">May 2026</t>
  </si>
  <si>
    <t xml:space="preserve">Overdue</t>
  </si>
  <si>
    <t xml:space="preserve">SOP-OPS-006</t>
  </si>
  <si>
    <t xml:space="preserve">Customer Grievance Redressal</t>
  </si>
  <si>
    <t xml:space="preserve">Service Ops</t>
  </si>
  <si>
    <t xml:space="preserve">Meena Rao</t>
  </si>
  <si>
    <t xml:space="preserve">v3.0</t>
  </si>
  <si>
    <t xml:space="preserve">SOP-OPS-007</t>
  </si>
  <si>
    <t xml:space="preserve">Branch Cash Management</t>
  </si>
  <si>
    <t xml:space="preserve">Retail Ops</t>
  </si>
  <si>
    <t xml:space="preserve">Suresh Bhat</t>
  </si>
  <si>
    <t xml:space="preserve">v2.2</t>
  </si>
  <si>
    <t xml:space="preserve">SOP-OPS-008</t>
  </si>
  <si>
    <t xml:space="preserve">Employee Offboarding Checklist</t>
  </si>
  <si>
    <t xml:space="preserve">HR Ops</t>
  </si>
  <si>
    <t xml:space="preserve">Divya Shah</t>
  </si>
  <si>
    <t xml:space="preserve">v1.3</t>
  </si>
  <si>
    <t xml:space="preserve">Oct 2025</t>
  </si>
  <si>
    <t xml:space="preserve">Apr 2026</t>
  </si>
  <si>
    <t xml:space="preserve">Low</t>
  </si>
  <si>
    <t xml:space="preserve">SOP-OPS-009</t>
  </si>
  <si>
    <t xml:space="preserve">Data Backup &amp; Recovery</t>
  </si>
  <si>
    <t xml:space="preserve">v2.1</t>
  </si>
  <si>
    <t xml:space="preserve">SOP-OPS-010</t>
  </si>
  <si>
    <t xml:space="preserve">AML Transaction Monitoring</t>
  </si>
  <si>
    <t xml:space="preserve">Compliance Ops</t>
  </si>
  <si>
    <t xml:space="preserve">Rajan Verma</t>
  </si>
  <si>
    <t xml:space="preserve">v4.0</t>
  </si>
  <si>
    <t xml:space="preserve">Critical</t>
  </si>
  <si>
    <t xml:space="preserve">SOP-OPS-011</t>
  </si>
  <si>
    <t xml:space="preserve">Cross-sell Campaign Execution</t>
  </si>
  <si>
    <t xml:space="preserve">Sales Ops</t>
  </si>
  <si>
    <t xml:space="preserve">Anita Desai</t>
  </si>
  <si>
    <t xml:space="preserve">v1.2</t>
  </si>
  <si>
    <t xml:space="preserve">SOP-OPS-012</t>
  </si>
  <si>
    <t xml:space="preserve">Regulatory Reporting – RBI Returns</t>
  </si>
  <si>
    <t xml:space="preserve">v3.3</t>
  </si>
  <si>
    <t xml:space="preserve">🚨 Operational Incident Log — FY2026-27 (Apr–Mar)</t>
  </si>
  <si>
    <t xml:space="preserve">Incident ID</t>
  </si>
  <si>
    <t xml:space="preserve">Date</t>
  </si>
  <si>
    <t xml:space="preserve">Process Affected</t>
  </si>
  <si>
    <t xml:space="preserve">Severity</t>
  </si>
  <si>
    <t xml:space="preserve">Root Cause Category</t>
  </si>
  <si>
    <t xml:space="preserve">Description</t>
  </si>
  <si>
    <t xml:space="preserve">Downtime (hrs)</t>
  </si>
  <si>
    <t xml:space="preserve">Customers Impacted</t>
  </si>
  <si>
    <t xml:space="preserve">Resolution Time (hrs)</t>
  </si>
  <si>
    <t xml:space="preserve">Recurrence</t>
  </si>
  <si>
    <t xml:space="preserve">INC-2026-001</t>
  </si>
  <si>
    <t xml:space="preserve">Apr 5, 2026</t>
  </si>
  <si>
    <t xml:space="preserve">Loan Disbursement</t>
  </si>
  <si>
    <t xml:space="preserve">P1</t>
  </si>
  <si>
    <t xml:space="preserve">System Failure</t>
  </si>
  <si>
    <t xml:space="preserve">Core banking system outage halted disbursements for 6 hours</t>
  </si>
  <si>
    <t xml:space="preserve">Resolved</t>
  </si>
  <si>
    <t xml:space="preserve">No</t>
  </si>
  <si>
    <t xml:space="preserve">INC-2026-002</t>
  </si>
  <si>
    <t xml:space="preserve">Apr 12, 2026</t>
  </si>
  <si>
    <t xml:space="preserve">KYC Verification</t>
  </si>
  <si>
    <t xml:space="preserve">P2</t>
  </si>
  <si>
    <t xml:space="preserve">Process Gap</t>
  </si>
  <si>
    <t xml:space="preserve">Manual override used incorrectly, 38 accounts flagged for re-KYC</t>
  </si>
  <si>
    <t xml:space="preserve">Yes</t>
  </si>
  <si>
    <t xml:space="preserve">INC-2026-003</t>
  </si>
  <si>
    <t xml:space="preserve">Apr 18, 2026</t>
  </si>
  <si>
    <t xml:space="preserve">EMI Collection</t>
  </si>
  <si>
    <t xml:space="preserve">Third-Party Failure</t>
  </si>
  <si>
    <t xml:space="preserve">Payment gateway downtime caused bounce misclassification</t>
  </si>
  <si>
    <t xml:space="preserve">INC-2026-004</t>
  </si>
  <si>
    <t xml:space="preserve">Apr 23, 2026</t>
  </si>
  <si>
    <t xml:space="preserve">Regulatory Reporting</t>
  </si>
  <si>
    <t xml:space="preserve">Data Quality</t>
  </si>
  <si>
    <t xml:space="preserve">Incorrect GL mapping led to RBI return discrepancy</t>
  </si>
  <si>
    <t xml:space="preserve">INC-2026-005</t>
  </si>
  <si>
    <t xml:space="preserve">May 2, 2026</t>
  </si>
  <si>
    <t xml:space="preserve">AML Monitoring</t>
  </si>
  <si>
    <t xml:space="preserve">Alert backlog of 320 cases exceeded 48-hr SLA</t>
  </si>
  <si>
    <t xml:space="preserve">INC-2026-006</t>
  </si>
  <si>
    <t xml:space="preserve">May 9, 2026</t>
  </si>
  <si>
    <t xml:space="preserve">Customer Grievance</t>
  </si>
  <si>
    <t xml:space="preserve">P3</t>
  </si>
  <si>
    <t xml:space="preserve">Human Error</t>
  </si>
  <si>
    <t xml:space="preserve">Complaint closed without resolution — 12 re-escalations</t>
  </si>
  <si>
    <t xml:space="preserve">INC-2026-007</t>
  </si>
  <si>
    <t xml:space="preserve">May 15, 2026</t>
  </si>
  <si>
    <t xml:space="preserve">IT Backup</t>
  </si>
  <si>
    <t xml:space="preserve">Nightly backup job failed silently for 4 consecutive days</t>
  </si>
  <si>
    <t xml:space="preserve">INC-2026-008</t>
  </si>
  <si>
    <t xml:space="preserve">May 21, 2026</t>
  </si>
  <si>
    <t xml:space="preserve">Branch Cash Mgmt</t>
  </si>
  <si>
    <t xml:space="preserve">Cash count mismatch of ₹48,000 at Pune Branch</t>
  </si>
  <si>
    <t xml:space="preserve">INC-2026-009</t>
  </si>
  <si>
    <t xml:space="preserve">May 28, 2026</t>
  </si>
  <si>
    <t xml:space="preserve">Vendor Payments</t>
  </si>
  <si>
    <t xml:space="preserve">Duplicate payment of ₹2.1L to vendor due to approval bypass</t>
  </si>
  <si>
    <t xml:space="preserve">Under Investigation</t>
  </si>
  <si>
    <t xml:space="preserve">INC-2026-010</t>
  </si>
  <si>
    <t xml:space="preserve">Jun 3, 2026</t>
  </si>
  <si>
    <t xml:space="preserve">CIBIL API timeout causing 3-hr processing delay</t>
  </si>
  <si>
    <t xml:space="preserve">INC-2026-011</t>
  </si>
  <si>
    <t xml:space="preserve">Jun 5, 2026</t>
  </si>
  <si>
    <t xml:space="preserve">Customer Onboarding</t>
  </si>
  <si>
    <t xml:space="preserve">Video KYC failure rate spiked to 34% due to app update bug</t>
  </si>
  <si>
    <t xml:space="preserve">Open</t>
  </si>
  <si>
    <t xml:space="preserve">INC-2026-012</t>
  </si>
  <si>
    <t xml:space="preserve">Compliance Breach</t>
  </si>
  <si>
    <t xml:space="preserve">SAR filing delayed beyond 7-day regulatory window</t>
  </si>
  <si>
    <t xml:space="preserve">Escalated</t>
  </si>
  <si>
    <t xml:space="preserve">📊 Monthly Operations Performance Report — FY2026-27</t>
  </si>
  <si>
    <t xml:space="preserve">Month</t>
  </si>
  <si>
    <t xml:space="preserve">Transactions Processed</t>
  </si>
  <si>
    <t xml:space="preserve">SLA Adherence %</t>
  </si>
  <si>
    <t xml:space="preserve">First-Time-Right %</t>
  </si>
  <si>
    <t xml:space="preserve">Avg Processing Time (hrs)</t>
  </si>
  <si>
    <t xml:space="preserve">Error Rate %</t>
  </si>
  <si>
    <t xml:space="preserve">Cost per Transaction (₹)</t>
  </si>
  <si>
    <t xml:space="preserve">Customer Complaints</t>
  </si>
  <si>
    <t xml:space="preserve">Escalations</t>
  </si>
  <si>
    <t xml:space="preserve">Incidents (P1+P2)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</si>
  <si>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</si>
  <si>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</si>
  <si>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</si>
  <si>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</si>
  <si>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</si>
  <si>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</si>
  <si>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Q1 FY27 Total / Avg</t>
  </si>
  <si>
    <t xml:space="preserve">⚙️ Workflow Efficiency Analysis — Operations Processes</t>
  </si>
  <si>
    <t xml:space="preserve">Steps Count</t>
  </si>
  <si>
    <t xml:space="preserve">Manual Steps</t>
  </si>
  <si>
    <t xml:space="preserve">Automated Steps</t>
  </si>
  <si>
    <t xml:space="preserve">Avg Cycle Time (hrs)</t>
  </si>
  <si>
    <t xml:space="preserve">Benchmark Time (hrs)</t>
  </si>
  <si>
    <t xml:space="preserve">Rework Rate %</t>
  </si>
  <si>
    <t xml:space="preserve">Bottleneck Step</t>
  </si>
  <si>
    <t xml:space="preserve">Automation Potential</t>
  </si>
  <si>
    <t xml:space="preserve">Efficiency Score</t>
  </si>
  <si>
    <t xml:space="preserve">Document Validation</t>
  </si>
  <si>
    <t xml:space="preserve">Credit Bureau Check</t>
  </si>
  <si>
    <t xml:space="preserve">Bounce Reconciliation</t>
  </si>
  <si>
    <t xml:space="preserve">Vendor Invoice Approval</t>
  </si>
  <si>
    <t xml:space="preserve">3-Way Match Verification</t>
  </si>
  <si>
    <t xml:space="preserve">IT Incident Resolution</t>
  </si>
  <si>
    <t xml:space="preserve">Root Cause Analysis</t>
  </si>
  <si>
    <t xml:space="preserve">Manager Escalation</t>
  </si>
  <si>
    <t xml:space="preserve">End-of-Day Reconciliation</t>
  </si>
  <si>
    <t xml:space="preserve">Employee Offboarding</t>
  </si>
  <si>
    <t xml:space="preserve">IT Access Revocation</t>
  </si>
  <si>
    <t xml:space="preserve">Analyst Review Queue</t>
  </si>
  <si>
    <t xml:space="preserve">Cross-sell Campaign</t>
  </si>
  <si>
    <t xml:space="preserve">Eligibility Screening</t>
  </si>
  <si>
    <t xml:space="preserve">Data Reconciliation</t>
  </si>
  <si>
    <t xml:space="preserve">Recovery Test Validation</t>
  </si>
  <si>
    <t xml:space="preserve">📣 Operational Communication &amp; Stakeholder Update Log — FY2026-27</t>
  </si>
  <si>
    <t xml:space="preserve">Comm ID</t>
  </si>
  <si>
    <t xml:space="preserve">Type</t>
  </si>
  <si>
    <t xml:space="preserve">Subject</t>
  </si>
  <si>
    <t xml:space="preserve">Audience</t>
  </si>
  <si>
    <t xml:space="preserve">Sent By</t>
  </si>
  <si>
    <t xml:space="preserve">Key Message</t>
  </si>
  <si>
    <t xml:space="preserve">Action Required</t>
  </si>
  <si>
    <t xml:space="preserve">Deadline</t>
  </si>
  <si>
    <t xml:space="preserve">COM-001</t>
  </si>
  <si>
    <t xml:space="preserve">Apr 1, 2026</t>
  </si>
  <si>
    <t xml:space="preserve">Weekly Ops Update</t>
  </si>
  <si>
    <t xml:space="preserve">Q4 FY26 Ops Closure Summary</t>
  </si>
  <si>
    <t xml:space="preserve">COO, BU Heads</t>
  </si>
  <si>
    <t xml:space="preserve">Ops Lead</t>
  </si>
  <si>
    <t xml:space="preserve">Transaction volumes up 8%, SLA at 94.2%. 3 P1 incidents resolved.</t>
  </si>
  <si>
    <t xml:space="preserve">Approve Q1 targets</t>
  </si>
  <si>
    <t xml:space="preserve">Sent</t>
  </si>
  <si>
    <t xml:space="preserve">COM-002</t>
  </si>
  <si>
    <t xml:space="preserve">Incident Alert</t>
  </si>
  <si>
    <t xml:space="preserve">P1: Core Banking Outage</t>
  </si>
  <si>
    <t xml:space="preserve">CTO, COO, Risk</t>
  </si>
  <si>
    <t xml:space="preserve">Incident Manager</t>
  </si>
  <si>
    <t xml:space="preserve">6-hr outage impacted 1,240 customers. RCA in progress.</t>
  </si>
  <si>
    <t xml:space="preserve">Approve BCP activation</t>
  </si>
  <si>
    <t xml:space="preserve">Apr 6, 2026</t>
  </si>
  <si>
    <t xml:space="preserve">Acknowledged</t>
  </si>
  <si>
    <t xml:space="preserve">COM-003</t>
  </si>
  <si>
    <t xml:space="preserve">Compliance Update</t>
  </si>
  <si>
    <t xml:space="preserve">KYC Re-verification Required — 38 Accounts</t>
  </si>
  <si>
    <t xml:space="preserve">Compliance, Legal</t>
  </si>
  <si>
    <t xml:space="preserve">38 accounts flagged. Re-KYC to be completed by Apr 25.</t>
  </si>
  <si>
    <t xml:space="preserve">Assign relationship managers</t>
  </si>
  <si>
    <t xml:space="preserve">Apr 15, 2026</t>
  </si>
  <si>
    <t xml:space="preserve">In Progress</t>
  </si>
  <si>
    <t xml:space="preserve">COM-004</t>
  </si>
  <si>
    <t xml:space="preserve">Apr 30, 2026</t>
  </si>
  <si>
    <t xml:space="preserve">Monthly Report</t>
  </si>
  <si>
    <t xml:space="preserve">April 2026 Operations Performance Report</t>
  </si>
  <si>
    <t xml:space="preserve">Board, COO</t>
  </si>
  <si>
    <t xml:space="preserve">Ops Head</t>
  </si>
  <si>
    <t xml:space="preserve">142,800 txns processed. SLA 94.2%. 312 complaints received.</t>
  </si>
  <si>
    <t xml:space="preserve">Review and sign off</t>
  </si>
  <si>
    <t xml:space="preserve">May 5, 2026</t>
  </si>
  <si>
    <t xml:space="preserve">COM-005</t>
  </si>
  <si>
    <t xml:space="preserve">Escalation Notice</t>
  </si>
  <si>
    <t xml:space="preserve">AML Alert Backlog — SLA Breach Risk</t>
  </si>
  <si>
    <t xml:space="preserve">CISO, Compliance Head</t>
  </si>
  <si>
    <t xml:space="preserve">AML Ops Lead</t>
  </si>
  <si>
    <t xml:space="preserve">320 alerts pending beyond 48-hr SLA. Additional analysts needed.</t>
  </si>
  <si>
    <t xml:space="preserve">Approve temp resource allocation</t>
  </si>
  <si>
    <t xml:space="preserve">May 3, 2026</t>
  </si>
  <si>
    <t xml:space="preserve">COM-006</t>
  </si>
  <si>
    <t xml:space="preserve">Process Advisory</t>
  </si>
  <si>
    <t xml:space="preserve">Grievance Closure Checklist — Mandatory</t>
  </si>
  <si>
    <t xml:space="preserve">Branch Ops, Service Teams</t>
  </si>
  <si>
    <t xml:space="preserve">Ops Quality</t>
  </si>
  <si>
    <t xml:space="preserve">12 grievances reopened. New checklist mandatory from May 15.</t>
  </si>
  <si>
    <t xml:space="preserve">Confirm receipt and acknowledgement</t>
  </si>
  <si>
    <t xml:space="preserve">May 12, 2026</t>
  </si>
  <si>
    <t xml:space="preserve">COM-007</t>
  </si>
  <si>
    <t xml:space="preserve">May 31, 2026</t>
  </si>
  <si>
    <t xml:space="preserve">May 2026 Operations Performance Report</t>
  </si>
  <si>
    <t xml:space="preserve">138,500 txns. SLA 93.8%. Error rate increased to 1.6%.</t>
  </si>
  <si>
    <t xml:space="preserve">Approve corrective action plan</t>
  </si>
  <si>
    <t xml:space="preserve">Pending</t>
  </si>
  <si>
    <t xml:space="preserve">COM-008</t>
  </si>
  <si>
    <t xml:space="preserve">P2: CIBIL API Degradation</t>
  </si>
  <si>
    <t xml:space="preserve">IT, Lending Ops</t>
  </si>
  <si>
    <t xml:space="preserve">3-hr delay in loan processing. Vendor escalated. Workaround active.</t>
  </si>
  <si>
    <t xml:space="preserve">Monitor resolution</t>
  </si>
  <si>
    <t xml:space="preserve">Jun 4, 2026</t>
  </si>
  <si>
    <t xml:space="preserve">COM-009</t>
  </si>
  <si>
    <t xml:space="preserve">SAR Filing Delay — Regulatory Breach</t>
  </si>
  <si>
    <t xml:space="preserve">MD &amp; CEO, Compliance</t>
  </si>
  <si>
    <t xml:space="preserve">Chief Compliance Officer</t>
  </si>
  <si>
    <t xml:space="preserve">SAR filing missed 7-day window. Regulatory communication required.</t>
  </si>
  <si>
    <t xml:space="preserve">CEO sign-off on response letter</t>
  </si>
  <si>
    <t xml:space="preserve">Jun 6, 2026</t>
  </si>
  <si>
    <t xml:space="preserve">COM-010</t>
  </si>
  <si>
    <t xml:space="preserve">Process Update</t>
  </si>
  <si>
    <t xml:space="preserve">Video KYC App Bug — Temporary Manual Process</t>
  </si>
  <si>
    <t xml:space="preserve">Branch Network, Digital Ops</t>
  </si>
  <si>
    <t xml:space="preserve">34% failure rate in Video KYC. Manual fallback activated.</t>
  </si>
  <si>
    <t xml:space="preserve">Confirm branch readiness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</si>
</sst>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E86A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86AB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5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23.85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8</v>
      </c>
    </row>
    <row r="4" customFormat="false" ht="23.8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</row>
    <row r="5" customFormat="false" ht="23.85" hidden="false" customHeight="false" outlineLevel="0" collapsed="false">
      <c r="A5" s="5" t="s">
        <v>13</v>
      </c>
      <c r="B5" s="5" t="s">
        <v>14</v>
      </c>
      <c r="C5" s="5" t="s">
        <v>15</v>
      </c>
      <c r="D5" s="5" t="s">
        <v>16</v>
      </c>
    </row>
    <row r="6" customFormat="false" ht="23.85" hidden="false" customHeight="false" outlineLevel="0" collapsed="false">
      <c r="A6" s="4" t="s">
        <v>17</v>
      </c>
      <c r="B6" s="4" t="s">
        <v>18</v>
      </c>
      <c r="C6" s="4" t="s">
        <v>19</v>
      </c>
      <c r="D6" s="4" t="s">
        <v>20</v>
      </c>
    </row>
    <row r="7" customFormat="false" ht="23.85" hidden="false" customHeight="false" outlineLevel="0" collapsed="false">
      <c r="A7" s="5" t="s">
        <v>21</v>
      </c>
      <c r="B7" s="5" t="s">
        <v>22</v>
      </c>
      <c r="C7" s="5" t="s">
        <v>23</v>
      </c>
      <c r="D7" s="5" t="s">
        <v>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</row>
    <row r="2" customFormat="false" ht="36" hidden="false" customHeight="tru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</row>
    <row r="4" customFormat="false" ht="15" hidden="false" customHeight="fals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42</v>
      </c>
      <c r="I4" s="7" t="s">
        <v>43</v>
      </c>
    </row>
    <row r="5" customFormat="false" ht="15" hidden="false" customHeight="false" outlineLevel="0" collapsed="false">
      <c r="A5" s="6" t="s">
        <v>51</v>
      </c>
      <c r="B5" s="6" t="s">
        <v>52</v>
      </c>
      <c r="C5" s="6" t="s">
        <v>53</v>
      </c>
      <c r="D5" s="6" t="s">
        <v>54</v>
      </c>
      <c r="E5" s="6" t="s">
        <v>55</v>
      </c>
      <c r="F5" s="6" t="s">
        <v>56</v>
      </c>
      <c r="G5" s="6" t="s">
        <v>57</v>
      </c>
      <c r="H5" s="6" t="s">
        <v>58</v>
      </c>
      <c r="I5" s="6" t="s">
        <v>43</v>
      </c>
    </row>
    <row r="6" customFormat="false" ht="15" hidden="false" customHeight="false" outlineLevel="0" collapsed="false">
      <c r="A6" s="7" t="s">
        <v>59</v>
      </c>
      <c r="B6" s="7" t="s">
        <v>60</v>
      </c>
      <c r="C6" s="7" t="s">
        <v>61</v>
      </c>
      <c r="D6" s="7" t="s">
        <v>62</v>
      </c>
      <c r="E6" s="7" t="s">
        <v>63</v>
      </c>
      <c r="F6" s="7" t="s">
        <v>64</v>
      </c>
      <c r="G6" s="7" t="s">
        <v>65</v>
      </c>
      <c r="H6" s="7" t="s">
        <v>42</v>
      </c>
      <c r="I6" s="7" t="s">
        <v>66</v>
      </c>
    </row>
    <row r="7" customFormat="false" ht="15" hidden="false" customHeight="false" outlineLevel="0" collapsed="false">
      <c r="A7" s="6" t="s">
        <v>67</v>
      </c>
      <c r="B7" s="6" t="s">
        <v>68</v>
      </c>
      <c r="C7" s="6" t="s">
        <v>69</v>
      </c>
      <c r="D7" s="6" t="s">
        <v>70</v>
      </c>
      <c r="E7" s="6" t="s">
        <v>71</v>
      </c>
      <c r="F7" s="6" t="s">
        <v>72</v>
      </c>
      <c r="G7" s="6" t="s">
        <v>73</v>
      </c>
      <c r="H7" s="6" t="s">
        <v>74</v>
      </c>
      <c r="I7" s="6" t="s">
        <v>66</v>
      </c>
    </row>
    <row r="8" customFormat="false" ht="15" hidden="false" customHeight="false" outlineLevel="0" collapsed="false">
      <c r="A8" s="7" t="s">
        <v>75</v>
      </c>
      <c r="B8" s="7" t="s">
        <v>76</v>
      </c>
      <c r="C8" s="7" t="s">
        <v>77</v>
      </c>
      <c r="D8" s="7" t="s">
        <v>78</v>
      </c>
      <c r="E8" s="7" t="s">
        <v>79</v>
      </c>
      <c r="F8" s="7" t="s">
        <v>40</v>
      </c>
      <c r="G8" s="7" t="s">
        <v>41</v>
      </c>
      <c r="H8" s="7" t="s">
        <v>42</v>
      </c>
      <c r="I8" s="7" t="s">
        <v>43</v>
      </c>
    </row>
    <row r="9" customFormat="false" ht="15" hidden="false" customHeight="false" outlineLevel="0" collapsed="false">
      <c r="A9" s="6" t="s">
        <v>80</v>
      </c>
      <c r="B9" s="6" t="s">
        <v>81</v>
      </c>
      <c r="C9" s="6" t="s">
        <v>82</v>
      </c>
      <c r="D9" s="6" t="s">
        <v>83</v>
      </c>
      <c r="E9" s="6" t="s">
        <v>84</v>
      </c>
      <c r="F9" s="6" t="s">
        <v>49</v>
      </c>
      <c r="G9" s="6" t="s">
        <v>50</v>
      </c>
      <c r="H9" s="6" t="s">
        <v>42</v>
      </c>
      <c r="I9" s="6" t="s">
        <v>43</v>
      </c>
    </row>
    <row r="10" customFormat="false" ht="15" hidden="false" customHeight="false" outlineLevel="0" collapsed="false">
      <c r="A10" s="7" t="s">
        <v>85</v>
      </c>
      <c r="B10" s="7" t="s">
        <v>86</v>
      </c>
      <c r="C10" s="7" t="s">
        <v>87</v>
      </c>
      <c r="D10" s="7" t="s">
        <v>88</v>
      </c>
      <c r="E10" s="7" t="s">
        <v>89</v>
      </c>
      <c r="F10" s="7" t="s">
        <v>90</v>
      </c>
      <c r="G10" s="7" t="s">
        <v>91</v>
      </c>
      <c r="H10" s="7" t="s">
        <v>74</v>
      </c>
      <c r="I10" s="7" t="s">
        <v>92</v>
      </c>
    </row>
    <row r="11" customFormat="false" ht="15" hidden="false" customHeight="false" outlineLevel="0" collapsed="false">
      <c r="A11" s="6" t="s">
        <v>93</v>
      </c>
      <c r="B11" s="6" t="s">
        <v>94</v>
      </c>
      <c r="C11" s="6" t="s">
        <v>69</v>
      </c>
      <c r="D11" s="6" t="s">
        <v>70</v>
      </c>
      <c r="E11" s="6" t="s">
        <v>95</v>
      </c>
      <c r="F11" s="6" t="s">
        <v>64</v>
      </c>
      <c r="G11" s="6" t="s">
        <v>65</v>
      </c>
      <c r="H11" s="6" t="s">
        <v>42</v>
      </c>
      <c r="I11" s="6" t="s">
        <v>43</v>
      </c>
    </row>
    <row r="12" customFormat="false" ht="15" hidden="false" customHeight="false" outlineLevel="0" collapsed="false">
      <c r="A12" s="7" t="s">
        <v>96</v>
      </c>
      <c r="B12" s="7" t="s">
        <v>97</v>
      </c>
      <c r="C12" s="7" t="s">
        <v>98</v>
      </c>
      <c r="D12" s="7" t="s">
        <v>99</v>
      </c>
      <c r="E12" s="7" t="s">
        <v>100</v>
      </c>
      <c r="F12" s="7" t="s">
        <v>40</v>
      </c>
      <c r="G12" s="7" t="s">
        <v>41</v>
      </c>
      <c r="H12" s="7" t="s">
        <v>42</v>
      </c>
      <c r="I12" s="7" t="s">
        <v>101</v>
      </c>
    </row>
    <row r="13" customFormat="false" ht="15" hidden="false" customHeight="false" outlineLevel="0" collapsed="false">
      <c r="A13" s="6" t="s">
        <v>102</v>
      </c>
      <c r="B13" s="6" t="s">
        <v>103</v>
      </c>
      <c r="C13" s="6" t="s">
        <v>104</v>
      </c>
      <c r="D13" s="6" t="s">
        <v>105</v>
      </c>
      <c r="E13" s="6" t="s">
        <v>106</v>
      </c>
      <c r="F13" s="6" t="s">
        <v>49</v>
      </c>
      <c r="G13" s="6" t="s">
        <v>50</v>
      </c>
      <c r="H13" s="6" t="s">
        <v>42</v>
      </c>
      <c r="I13" s="6" t="s">
        <v>92</v>
      </c>
    </row>
    <row r="14" customFormat="false" ht="15" hidden="false" customHeight="false" outlineLevel="0" collapsed="false">
      <c r="A14" s="7" t="s">
        <v>107</v>
      </c>
      <c r="B14" s="7" t="s">
        <v>108</v>
      </c>
      <c r="C14" s="7" t="s">
        <v>98</v>
      </c>
      <c r="D14" s="7" t="s">
        <v>99</v>
      </c>
      <c r="E14" s="7" t="s">
        <v>109</v>
      </c>
      <c r="F14" s="7" t="s">
        <v>64</v>
      </c>
      <c r="G14" s="7" t="s">
        <v>65</v>
      </c>
      <c r="H14" s="7" t="s">
        <v>42</v>
      </c>
      <c r="I14" s="7" t="s">
        <v>101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46"/>
    <col collapsed="false" customWidth="true" hidden="false" outlineLevel="0" max="7" min="7" style="0" width="14"/>
    <col collapsed="false" customWidth="true" hidden="false" outlineLevel="0" max="10" min="8" style="0" width="18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117</v>
      </c>
      <c r="H2" s="2" t="s">
        <v>118</v>
      </c>
      <c r="I2" s="2" t="s">
        <v>119</v>
      </c>
      <c r="J2" s="2" t="s">
        <v>33</v>
      </c>
      <c r="K2" s="2" t="s">
        <v>120</v>
      </c>
    </row>
    <row r="3" customFormat="false" ht="22.35" hidden="false" customHeight="false" outlineLevel="0" collapsed="false">
      <c r="A3" s="6" t="s">
        <v>121</v>
      </c>
      <c r="B3" s="6" t="s">
        <v>122</v>
      </c>
      <c r="C3" s="6" t="s">
        <v>123</v>
      </c>
      <c r="D3" s="6" t="s">
        <v>124</v>
      </c>
      <c r="E3" s="6" t="s">
        <v>125</v>
      </c>
      <c r="F3" s="6" t="s">
        <v>126</v>
      </c>
      <c r="G3" s="6" t="n">
        <v>6</v>
      </c>
      <c r="H3" s="6" t="n">
        <v>1240</v>
      </c>
      <c r="I3" s="6" t="n">
        <v>9</v>
      </c>
      <c r="J3" s="6" t="s">
        <v>127</v>
      </c>
      <c r="K3" s="6" t="s">
        <v>128</v>
      </c>
    </row>
    <row r="4" customFormat="false" ht="22.35" hidden="false" customHeight="false" outlineLevel="0" collapsed="false">
      <c r="A4" s="7" t="s">
        <v>129</v>
      </c>
      <c r="B4" s="7" t="s">
        <v>130</v>
      </c>
      <c r="C4" s="7" t="s">
        <v>131</v>
      </c>
      <c r="D4" s="7" t="s">
        <v>132</v>
      </c>
      <c r="E4" s="7" t="s">
        <v>133</v>
      </c>
      <c r="F4" s="7" t="s">
        <v>134</v>
      </c>
      <c r="G4" s="7" t="n">
        <v>2</v>
      </c>
      <c r="H4" s="7" t="n">
        <v>38</v>
      </c>
      <c r="I4" s="7" t="n">
        <v>14</v>
      </c>
      <c r="J4" s="7" t="s">
        <v>127</v>
      </c>
      <c r="K4" s="7" t="s">
        <v>135</v>
      </c>
    </row>
    <row r="5" customFormat="false" ht="15" hidden="false" customHeight="false" outlineLevel="0" collapsed="false">
      <c r="A5" s="6" t="s">
        <v>136</v>
      </c>
      <c r="B5" s="6" t="s">
        <v>137</v>
      </c>
      <c r="C5" s="6" t="s">
        <v>138</v>
      </c>
      <c r="D5" s="6" t="s">
        <v>132</v>
      </c>
      <c r="E5" s="6" t="s">
        <v>139</v>
      </c>
      <c r="F5" s="6" t="s">
        <v>140</v>
      </c>
      <c r="G5" s="6" t="n">
        <v>3</v>
      </c>
      <c r="H5" s="6" t="n">
        <v>520</v>
      </c>
      <c r="I5" s="6" t="n">
        <v>6</v>
      </c>
      <c r="J5" s="6" t="s">
        <v>127</v>
      </c>
      <c r="K5" s="6" t="s">
        <v>128</v>
      </c>
    </row>
    <row r="6" customFormat="false" ht="15" hidden="false" customHeight="false" outlineLevel="0" collapsed="false">
      <c r="A6" s="7" t="s">
        <v>141</v>
      </c>
      <c r="B6" s="7" t="s">
        <v>142</v>
      </c>
      <c r="C6" s="7" t="s">
        <v>143</v>
      </c>
      <c r="D6" s="7" t="s">
        <v>124</v>
      </c>
      <c r="E6" s="7" t="s">
        <v>144</v>
      </c>
      <c r="F6" s="7" t="s">
        <v>145</v>
      </c>
      <c r="G6" s="7" t="n">
        <v>0</v>
      </c>
      <c r="H6" s="7" t="n">
        <v>0</v>
      </c>
      <c r="I6" s="7" t="n">
        <v>18</v>
      </c>
      <c r="J6" s="7" t="s">
        <v>127</v>
      </c>
      <c r="K6" s="7" t="s">
        <v>128</v>
      </c>
    </row>
    <row r="7" customFormat="false" ht="15" hidden="false" customHeight="false" outlineLevel="0" collapsed="false">
      <c r="A7" s="6" t="s">
        <v>146</v>
      </c>
      <c r="B7" s="6" t="s">
        <v>147</v>
      </c>
      <c r="C7" s="6" t="s">
        <v>148</v>
      </c>
      <c r="D7" s="6" t="s">
        <v>132</v>
      </c>
      <c r="E7" s="6" t="s">
        <v>133</v>
      </c>
      <c r="F7" s="6" t="s">
        <v>149</v>
      </c>
      <c r="G7" s="6" t="n">
        <v>0</v>
      </c>
      <c r="H7" s="6" t="n">
        <v>0</v>
      </c>
      <c r="I7" s="6" t="n">
        <v>36</v>
      </c>
      <c r="J7" s="6" t="s">
        <v>127</v>
      </c>
      <c r="K7" s="6" t="s">
        <v>135</v>
      </c>
    </row>
    <row r="8" customFormat="false" ht="15" hidden="false" customHeight="false" outlineLevel="0" collapsed="false">
      <c r="A8" s="7" t="s">
        <v>150</v>
      </c>
      <c r="B8" s="7" t="s">
        <v>151</v>
      </c>
      <c r="C8" s="7" t="s">
        <v>152</v>
      </c>
      <c r="D8" s="7" t="s">
        <v>153</v>
      </c>
      <c r="E8" s="7" t="s">
        <v>154</v>
      </c>
      <c r="F8" s="7" t="s">
        <v>155</v>
      </c>
      <c r="G8" s="7" t="n">
        <v>1</v>
      </c>
      <c r="H8" s="7" t="n">
        <v>12</v>
      </c>
      <c r="I8" s="7" t="n">
        <v>8</v>
      </c>
      <c r="J8" s="7" t="s">
        <v>127</v>
      </c>
      <c r="K8" s="7" t="s">
        <v>135</v>
      </c>
    </row>
    <row r="9" customFormat="false" ht="15" hidden="false" customHeight="false" outlineLevel="0" collapsed="false">
      <c r="A9" s="6" t="s">
        <v>156</v>
      </c>
      <c r="B9" s="6" t="s">
        <v>157</v>
      </c>
      <c r="C9" s="6" t="s">
        <v>158</v>
      </c>
      <c r="D9" s="6" t="s">
        <v>132</v>
      </c>
      <c r="E9" s="6" t="s">
        <v>125</v>
      </c>
      <c r="F9" s="6" t="s">
        <v>159</v>
      </c>
      <c r="G9" s="6" t="n">
        <v>0</v>
      </c>
      <c r="H9" s="6" t="n">
        <v>0</v>
      </c>
      <c r="I9" s="6" t="n">
        <v>24</v>
      </c>
      <c r="J9" s="6" t="s">
        <v>127</v>
      </c>
      <c r="K9" s="6" t="s">
        <v>128</v>
      </c>
    </row>
    <row r="10" customFormat="false" ht="15" hidden="false" customHeight="false" outlineLevel="0" collapsed="false">
      <c r="A10" s="7" t="s">
        <v>160</v>
      </c>
      <c r="B10" s="7" t="s">
        <v>161</v>
      </c>
      <c r="C10" s="7" t="s">
        <v>162</v>
      </c>
      <c r="D10" s="7" t="s">
        <v>153</v>
      </c>
      <c r="E10" s="7" t="s">
        <v>154</v>
      </c>
      <c r="F10" s="7" t="s">
        <v>163</v>
      </c>
      <c r="G10" s="7" t="n">
        <v>0</v>
      </c>
      <c r="H10" s="7" t="n">
        <v>1</v>
      </c>
      <c r="I10" s="7" t="n">
        <v>4</v>
      </c>
      <c r="J10" s="7" t="s">
        <v>127</v>
      </c>
      <c r="K10" s="7" t="s">
        <v>128</v>
      </c>
    </row>
    <row r="11" customFormat="false" ht="22.35" hidden="false" customHeight="false" outlineLevel="0" collapsed="false">
      <c r="A11" s="6" t="s">
        <v>164</v>
      </c>
      <c r="B11" s="6" t="s">
        <v>165</v>
      </c>
      <c r="C11" s="6" t="s">
        <v>166</v>
      </c>
      <c r="D11" s="6" t="s">
        <v>153</v>
      </c>
      <c r="E11" s="6" t="s">
        <v>133</v>
      </c>
      <c r="F11" s="6" t="s">
        <v>167</v>
      </c>
      <c r="G11" s="6" t="n">
        <v>0</v>
      </c>
      <c r="H11" s="6" t="n">
        <v>0</v>
      </c>
      <c r="I11" s="6" t="n">
        <v>12</v>
      </c>
      <c r="J11" s="6" t="s">
        <v>168</v>
      </c>
      <c r="K11" s="6" t="s">
        <v>128</v>
      </c>
    </row>
    <row r="12" customFormat="false" ht="15" hidden="false" customHeight="false" outlineLevel="0" collapsed="false">
      <c r="A12" s="7" t="s">
        <v>169</v>
      </c>
      <c r="B12" s="7" t="s">
        <v>170</v>
      </c>
      <c r="C12" s="7" t="s">
        <v>123</v>
      </c>
      <c r="D12" s="7" t="s">
        <v>132</v>
      </c>
      <c r="E12" s="7" t="s">
        <v>139</v>
      </c>
      <c r="F12" s="7" t="s">
        <v>171</v>
      </c>
      <c r="G12" s="7" t="n">
        <v>3</v>
      </c>
      <c r="H12" s="7" t="n">
        <v>680</v>
      </c>
      <c r="I12" s="7" t="n">
        <v>5</v>
      </c>
      <c r="J12" s="7" t="s">
        <v>127</v>
      </c>
      <c r="K12" s="7" t="s">
        <v>135</v>
      </c>
    </row>
    <row r="13" customFormat="false" ht="15" hidden="false" customHeight="false" outlineLevel="0" collapsed="false">
      <c r="A13" s="6" t="s">
        <v>172</v>
      </c>
      <c r="B13" s="6" t="s">
        <v>173</v>
      </c>
      <c r="C13" s="6" t="s">
        <v>174</v>
      </c>
      <c r="D13" s="6" t="s">
        <v>132</v>
      </c>
      <c r="E13" s="6" t="s">
        <v>144</v>
      </c>
      <c r="F13" s="6" t="s">
        <v>175</v>
      </c>
      <c r="G13" s="6" t="n">
        <v>2</v>
      </c>
      <c r="H13" s="6" t="n">
        <v>290</v>
      </c>
      <c r="I13" s="6" t="n">
        <v>7</v>
      </c>
      <c r="J13" s="6" t="s">
        <v>176</v>
      </c>
      <c r="K13" s="6" t="s">
        <v>128</v>
      </c>
    </row>
    <row r="14" customFormat="false" ht="15" hidden="false" customHeight="false" outlineLevel="0" collapsed="false">
      <c r="A14" s="7" t="s">
        <v>177</v>
      </c>
      <c r="B14" s="7" t="s">
        <v>173</v>
      </c>
      <c r="C14" s="7" t="s">
        <v>148</v>
      </c>
      <c r="D14" s="7" t="s">
        <v>124</v>
      </c>
      <c r="E14" s="7" t="s">
        <v>178</v>
      </c>
      <c r="F14" s="7" t="s">
        <v>179</v>
      </c>
      <c r="G14" s="7" t="n">
        <v>0</v>
      </c>
      <c r="H14" s="7" t="n">
        <v>0</v>
      </c>
      <c r="I14" s="7" t="n">
        <v>0</v>
      </c>
      <c r="J14" s="7" t="s">
        <v>180</v>
      </c>
      <c r="K14" s="7" t="s">
        <v>128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182</v>
      </c>
      <c r="B2" s="2" t="s">
        <v>183</v>
      </c>
      <c r="C2" s="2" t="s">
        <v>184</v>
      </c>
      <c r="D2" s="2" t="s">
        <v>185</v>
      </c>
      <c r="E2" s="2" t="s">
        <v>186</v>
      </c>
      <c r="F2" s="2" t="s">
        <v>187</v>
      </c>
      <c r="G2" s="2" t="s">
        <v>188</v>
      </c>
      <c r="H2" s="2" t="s">
        <v>189</v>
      </c>
      <c r="I2" s="2" t="s">
        <v>190</v>
      </c>
      <c r="J2" s="2" t="s">
        <v>191</v>
      </c>
    </row>
    <row r="3" customFormat="false" ht="15" hidden="false" customHeight="false" outlineLevel="0" collapsed="false">
      <c r="A3" s="6" t="s">
        <v>91</v>
      </c>
      <c r="B3" s="6" t="n">
        <v>142800</v>
      </c>
      <c r="C3" s="6" t="n">
        <v>94.2</v>
      </c>
      <c r="D3" s="6" t="n">
        <v>88.6</v>
      </c>
      <c r="E3" s="6" t="n">
        <v>1.8</v>
      </c>
      <c r="F3" s="6" t="n">
        <v>1.4</v>
      </c>
      <c r="G3" s="6" t="n">
        <v>48.2</v>
      </c>
      <c r="H3" s="6" t="n">
        <v>312</v>
      </c>
      <c r="I3" s="6" t="n">
        <v>28</v>
      </c>
      <c r="J3" s="6" t="n">
        <v>3</v>
      </c>
    </row>
    <row r="4" customFormat="false" ht="15" hidden="false" customHeight="false" outlineLevel="0" collapsed="false">
      <c r="A4" s="7" t="s">
        <v>73</v>
      </c>
      <c r="B4" s="7" t="n">
        <v>138500</v>
      </c>
      <c r="C4" s="7" t="n">
        <v>93.8</v>
      </c>
      <c r="D4" s="7" t="n">
        <v>89.1</v>
      </c>
      <c r="E4" s="7" t="n">
        <v>1.9</v>
      </c>
      <c r="F4" s="7" t="n">
        <v>1.6</v>
      </c>
      <c r="G4" s="7" t="n">
        <v>49.1</v>
      </c>
      <c r="H4" s="7" t="n">
        <v>298</v>
      </c>
      <c r="I4" s="7" t="n">
        <v>31</v>
      </c>
      <c r="J4" s="7" t="n">
        <v>4</v>
      </c>
    </row>
    <row r="5" customFormat="false" ht="15" hidden="false" customHeight="false" outlineLevel="0" collapsed="false">
      <c r="A5" s="6" t="s">
        <v>57</v>
      </c>
      <c r="B5" s="6" t="n">
        <v>145200</v>
      </c>
      <c r="C5" s="6" t="n">
        <v>91.5</v>
      </c>
      <c r="D5" s="6" t="n">
        <v>87.4</v>
      </c>
      <c r="E5" s="6" t="n">
        <v>2.1</v>
      </c>
      <c r="F5" s="6" t="n">
        <v>2.2</v>
      </c>
      <c r="G5" s="6" t="n">
        <v>51.4</v>
      </c>
      <c r="H5" s="6" t="n">
        <v>386</v>
      </c>
      <c r="I5" s="6" t="n">
        <v>45</v>
      </c>
      <c r="J5" s="6" t="n">
        <v>3</v>
      </c>
    </row>
    <row r="6" customFormat="false" ht="15" hidden="false" customHeight="false" outlineLevel="0" collapsed="false">
      <c r="A6" s="7" t="s">
        <v>41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</row>
    <row r="7" customFormat="false" ht="15" hidden="false" customHeight="false" outlineLevel="0" collapsed="false">
      <c r="A7" s="6" t="s">
        <v>50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 customFormat="false" ht="15" hidden="false" customHeight="false" outlineLevel="0" collapsed="false">
      <c r="A8" s="7" t="s">
        <v>65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</row>
    <row r="9" customFormat="false" ht="15" hidden="false" customHeight="false" outlineLevel="0" collapsed="false">
      <c r="A9" s="6" t="s">
        <v>192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 customFormat="false" ht="15" hidden="false" customHeight="false" outlineLevel="0" collapsed="false">
      <c r="A10" s="7" t="s">
        <v>193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 customFormat="false" ht="15" hidden="false" customHeight="false" outlineLevel="0" collapsed="false">
      <c r="A11" s="6" t="s">
        <v>194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</row>
    <row r="12" customFormat="false" ht="15" hidden="false" customHeight="false" outlineLevel="0" collapsed="false">
      <c r="A12" s="7" t="s">
        <v>195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</row>
    <row r="13" customFormat="false" ht="15" hidden="false" customHeight="false" outlineLevel="0" collapsed="false">
      <c r="A13" s="6" t="s">
        <v>196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 customFormat="false" ht="15" hidden="false" customHeight="false" outlineLevel="0" collapsed="false">
      <c r="A14" s="7" t="s">
        <v>197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</row>
    <row r="15" customFormat="false" ht="23.85" hidden="false" customHeight="false" outlineLevel="0" collapsed="false">
      <c r="A15" s="8" t="s">
        <v>198</v>
      </c>
      <c r="B15" s="8" t="n">
        <f aca="false">SUM(B3:B5)</f>
        <v>426500</v>
      </c>
      <c r="C15" s="8" t="n">
        <f aca="false">AVERAGE(C3:C5)</f>
        <v>93.1666666666667</v>
      </c>
      <c r="D15" s="8" t="n">
        <f aca="false">AVERAGE(D3:D5)</f>
        <v>88.3666666666667</v>
      </c>
      <c r="E15" s="8" t="n">
        <f aca="false">AVERAGE(E3:E5)</f>
        <v>1.93333333333333</v>
      </c>
      <c r="F15" s="8" t="n">
        <f aca="false">AVERAGE(F3:F5)</f>
        <v>1.73333333333333</v>
      </c>
      <c r="G15" s="8" t="n">
        <f aca="false">AVERAGE(G3:G5)</f>
        <v>49.5666666666667</v>
      </c>
      <c r="H15" s="8" t="n">
        <f aca="false">SUM(H3:H5)</f>
        <v>996</v>
      </c>
      <c r="I15" s="8" t="n">
        <f aca="false">SUM(I3:I5)</f>
        <v>104</v>
      </c>
      <c r="J15" s="8" t="n">
        <f aca="false">SUM(J3:J5)</f>
        <v>10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20"/>
    <col collapsed="false" customWidth="true" hidden="false" outlineLevel="0" max="7" min="7" style="0" width="16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27</v>
      </c>
      <c r="B2" s="2" t="s">
        <v>200</v>
      </c>
      <c r="C2" s="2" t="s">
        <v>201</v>
      </c>
      <c r="D2" s="2" t="s">
        <v>202</v>
      </c>
      <c r="E2" s="2" t="s">
        <v>203</v>
      </c>
      <c r="F2" s="2" t="s">
        <v>204</v>
      </c>
      <c r="G2" s="2" t="s">
        <v>205</v>
      </c>
      <c r="H2" s="2" t="s">
        <v>206</v>
      </c>
      <c r="I2" s="2" t="s">
        <v>207</v>
      </c>
      <c r="J2" s="2" t="s">
        <v>208</v>
      </c>
    </row>
    <row r="3" customFormat="false" ht="15" hidden="false" customHeight="false" outlineLevel="0" collapsed="false">
      <c r="A3" s="6" t="s">
        <v>131</v>
      </c>
      <c r="B3" s="6" t="n">
        <v>14</v>
      </c>
      <c r="C3" s="6" t="n">
        <v>9</v>
      </c>
      <c r="D3" s="6" t="n">
        <v>5</v>
      </c>
      <c r="E3" s="6" t="n">
        <v>4.2</v>
      </c>
      <c r="F3" s="6" t="n">
        <v>2</v>
      </c>
      <c r="G3" s="6" t="n">
        <v>18</v>
      </c>
      <c r="H3" s="6" t="s">
        <v>209</v>
      </c>
      <c r="I3" s="6" t="s">
        <v>43</v>
      </c>
      <c r="J3" s="6" t="n">
        <v>62</v>
      </c>
    </row>
    <row r="4" customFormat="false" ht="15" hidden="false" customHeight="false" outlineLevel="0" collapsed="false">
      <c r="A4" s="7" t="s">
        <v>123</v>
      </c>
      <c r="B4" s="7" t="n">
        <v>18</v>
      </c>
      <c r="C4" s="7" t="n">
        <v>7</v>
      </c>
      <c r="D4" s="7" t="n">
        <v>11</v>
      </c>
      <c r="E4" s="7" t="n">
        <v>6.8</v>
      </c>
      <c r="F4" s="7" t="n">
        <v>4</v>
      </c>
      <c r="G4" s="7" t="n">
        <v>12</v>
      </c>
      <c r="H4" s="7" t="s">
        <v>210</v>
      </c>
      <c r="I4" s="7" t="s">
        <v>66</v>
      </c>
      <c r="J4" s="7" t="n">
        <v>71</v>
      </c>
    </row>
    <row r="5" customFormat="false" ht="15" hidden="false" customHeight="false" outlineLevel="0" collapsed="false">
      <c r="A5" s="6" t="s">
        <v>138</v>
      </c>
      <c r="B5" s="6" t="n">
        <v>12</v>
      </c>
      <c r="C5" s="6" t="n">
        <v>5</v>
      </c>
      <c r="D5" s="6" t="n">
        <v>7</v>
      </c>
      <c r="E5" s="6" t="n">
        <v>1.4</v>
      </c>
      <c r="F5" s="6" t="n">
        <v>1</v>
      </c>
      <c r="G5" s="6" t="n">
        <v>8</v>
      </c>
      <c r="H5" s="6" t="s">
        <v>211</v>
      </c>
      <c r="I5" s="6" t="s">
        <v>43</v>
      </c>
      <c r="J5" s="6" t="n">
        <v>76</v>
      </c>
    </row>
    <row r="6" customFormat="false" ht="15" hidden="false" customHeight="false" outlineLevel="0" collapsed="false">
      <c r="A6" s="7" t="s">
        <v>212</v>
      </c>
      <c r="B6" s="7" t="n">
        <v>10</v>
      </c>
      <c r="C6" s="7" t="n">
        <v>8</v>
      </c>
      <c r="D6" s="7" t="n">
        <v>2</v>
      </c>
      <c r="E6" s="7" t="n">
        <v>48</v>
      </c>
      <c r="F6" s="7" t="n">
        <v>24</v>
      </c>
      <c r="G6" s="7" t="n">
        <v>22</v>
      </c>
      <c r="H6" s="7" t="s">
        <v>213</v>
      </c>
      <c r="I6" s="7" t="s">
        <v>43</v>
      </c>
      <c r="J6" s="7" t="n">
        <v>41</v>
      </c>
    </row>
    <row r="7" customFormat="false" ht="15" hidden="false" customHeight="false" outlineLevel="0" collapsed="false">
      <c r="A7" s="6" t="s">
        <v>214</v>
      </c>
      <c r="B7" s="6" t="n">
        <v>8</v>
      </c>
      <c r="C7" s="6" t="n">
        <v>6</v>
      </c>
      <c r="D7" s="6" t="n">
        <v>2</v>
      </c>
      <c r="E7" s="6" t="n">
        <v>9.2</v>
      </c>
      <c r="F7" s="6" t="n">
        <v>4</v>
      </c>
      <c r="G7" s="6" t="n">
        <v>15</v>
      </c>
      <c r="H7" s="6" t="s">
        <v>215</v>
      </c>
      <c r="I7" s="6" t="s">
        <v>66</v>
      </c>
      <c r="J7" s="6" t="n">
        <v>55</v>
      </c>
    </row>
    <row r="8" customFormat="false" ht="15" hidden="false" customHeight="false" outlineLevel="0" collapsed="false">
      <c r="A8" s="7" t="s">
        <v>152</v>
      </c>
      <c r="B8" s="7" t="n">
        <v>11</v>
      </c>
      <c r="C8" s="7" t="n">
        <v>9</v>
      </c>
      <c r="D8" s="7" t="n">
        <v>2</v>
      </c>
      <c r="E8" s="7" t="n">
        <v>72</v>
      </c>
      <c r="F8" s="7" t="n">
        <v>48</v>
      </c>
      <c r="G8" s="7" t="n">
        <v>31</v>
      </c>
      <c r="H8" s="7" t="s">
        <v>216</v>
      </c>
      <c r="I8" s="7" t="s">
        <v>43</v>
      </c>
      <c r="J8" s="7" t="n">
        <v>38</v>
      </c>
    </row>
    <row r="9" customFormat="false" ht="15" hidden="false" customHeight="false" outlineLevel="0" collapsed="false">
      <c r="A9" s="6" t="s">
        <v>162</v>
      </c>
      <c r="B9" s="6" t="n">
        <v>9</v>
      </c>
      <c r="C9" s="6" t="n">
        <v>8</v>
      </c>
      <c r="D9" s="6" t="n">
        <v>1</v>
      </c>
      <c r="E9" s="6" t="n">
        <v>2.8</v>
      </c>
      <c r="F9" s="6" t="n">
        <v>1.5</v>
      </c>
      <c r="G9" s="6" t="n">
        <v>6</v>
      </c>
      <c r="H9" s="6" t="s">
        <v>217</v>
      </c>
      <c r="I9" s="6" t="s">
        <v>92</v>
      </c>
      <c r="J9" s="6" t="n">
        <v>52</v>
      </c>
    </row>
    <row r="10" customFormat="false" ht="15" hidden="false" customHeight="false" outlineLevel="0" collapsed="false">
      <c r="A10" s="7" t="s">
        <v>218</v>
      </c>
      <c r="B10" s="7" t="n">
        <v>16</v>
      </c>
      <c r="C10" s="7" t="n">
        <v>14</v>
      </c>
      <c r="D10" s="7" t="n">
        <v>2</v>
      </c>
      <c r="E10" s="7" t="n">
        <v>120</v>
      </c>
      <c r="F10" s="7" t="n">
        <v>48</v>
      </c>
      <c r="G10" s="7" t="n">
        <v>25</v>
      </c>
      <c r="H10" s="7" t="s">
        <v>219</v>
      </c>
      <c r="I10" s="7" t="s">
        <v>43</v>
      </c>
      <c r="J10" s="7" t="n">
        <v>30</v>
      </c>
    </row>
    <row r="11" customFormat="false" ht="15" hidden="false" customHeight="false" outlineLevel="0" collapsed="false">
      <c r="A11" s="6" t="s">
        <v>148</v>
      </c>
      <c r="B11" s="6" t="n">
        <v>7</v>
      </c>
      <c r="C11" s="6" t="n">
        <v>3</v>
      </c>
      <c r="D11" s="6" t="n">
        <v>4</v>
      </c>
      <c r="E11" s="6" t="n">
        <v>36</v>
      </c>
      <c r="F11" s="6" t="n">
        <v>24</v>
      </c>
      <c r="G11" s="6" t="n">
        <v>10</v>
      </c>
      <c r="H11" s="6" t="s">
        <v>220</v>
      </c>
      <c r="I11" s="6" t="s">
        <v>66</v>
      </c>
      <c r="J11" s="6" t="n">
        <v>64</v>
      </c>
    </row>
    <row r="12" customFormat="false" ht="15" hidden="false" customHeight="false" outlineLevel="0" collapsed="false">
      <c r="A12" s="7" t="s">
        <v>221</v>
      </c>
      <c r="B12" s="7" t="n">
        <v>13</v>
      </c>
      <c r="C12" s="7" t="n">
        <v>10</v>
      </c>
      <c r="D12" s="7" t="n">
        <v>3</v>
      </c>
      <c r="E12" s="7" t="n">
        <v>96</v>
      </c>
      <c r="F12" s="7" t="n">
        <v>48</v>
      </c>
      <c r="G12" s="7" t="n">
        <v>20</v>
      </c>
      <c r="H12" s="7" t="s">
        <v>222</v>
      </c>
      <c r="I12" s="7" t="s">
        <v>43</v>
      </c>
      <c r="J12" s="7" t="n">
        <v>45</v>
      </c>
    </row>
    <row r="13" customFormat="false" ht="15" hidden="false" customHeight="false" outlineLevel="0" collapsed="false">
      <c r="A13" s="6" t="s">
        <v>143</v>
      </c>
      <c r="B13" s="6" t="n">
        <v>8</v>
      </c>
      <c r="C13" s="6" t="n">
        <v>6</v>
      </c>
      <c r="D13" s="6" t="n">
        <v>2</v>
      </c>
      <c r="E13" s="6" t="n">
        <v>18</v>
      </c>
      <c r="F13" s="6" t="n">
        <v>8</v>
      </c>
      <c r="G13" s="6" t="n">
        <v>14</v>
      </c>
      <c r="H13" s="6" t="s">
        <v>223</v>
      </c>
      <c r="I13" s="6" t="s">
        <v>66</v>
      </c>
      <c r="J13" s="6" t="n">
        <v>58</v>
      </c>
    </row>
    <row r="14" customFormat="false" ht="15" hidden="false" customHeight="false" outlineLevel="0" collapsed="false">
      <c r="A14" s="7" t="s">
        <v>94</v>
      </c>
      <c r="B14" s="7" t="n">
        <v>6</v>
      </c>
      <c r="C14" s="7" t="n">
        <v>1</v>
      </c>
      <c r="D14" s="7" t="n">
        <v>5</v>
      </c>
      <c r="E14" s="7" t="n">
        <v>0.8</v>
      </c>
      <c r="F14" s="7" t="n">
        <v>0.5</v>
      </c>
      <c r="G14" s="7" t="n">
        <v>3</v>
      </c>
      <c r="H14" s="7" t="s">
        <v>224</v>
      </c>
      <c r="I14" s="7" t="s">
        <v>92</v>
      </c>
      <c r="J14" s="7" t="n">
        <v>85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52"/>
    <col collapsed="false" customWidth="true" hidden="false" outlineLevel="0" max="8" min="8" style="0" width="36"/>
    <col collapsed="false" customWidth="true" hidden="false" outlineLevel="0" max="10" min="9" style="0" width="14"/>
  </cols>
  <sheetData>
    <row r="1" customFormat="false" ht="27.75" hidden="false" customHeight="true" outlineLevel="0" collapsed="false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226</v>
      </c>
      <c r="B2" s="2" t="s">
        <v>112</v>
      </c>
      <c r="C2" s="2" t="s">
        <v>227</v>
      </c>
      <c r="D2" s="2" t="s">
        <v>228</v>
      </c>
      <c r="E2" s="2" t="s">
        <v>229</v>
      </c>
      <c r="F2" s="2" t="s">
        <v>230</v>
      </c>
      <c r="G2" s="2" t="s">
        <v>231</v>
      </c>
      <c r="H2" s="2" t="s">
        <v>232</v>
      </c>
      <c r="I2" s="2" t="s">
        <v>233</v>
      </c>
      <c r="J2" s="2" t="s">
        <v>33</v>
      </c>
    </row>
    <row r="3" customFormat="false" ht="15" hidden="false" customHeight="false" outlineLevel="0" collapsed="false">
      <c r="A3" s="6" t="s">
        <v>234</v>
      </c>
      <c r="B3" s="6" t="s">
        <v>235</v>
      </c>
      <c r="C3" s="6" t="s">
        <v>236</v>
      </c>
      <c r="D3" s="6" t="s">
        <v>237</v>
      </c>
      <c r="E3" s="6" t="s">
        <v>238</v>
      </c>
      <c r="F3" s="6" t="s">
        <v>239</v>
      </c>
      <c r="G3" s="6" t="s">
        <v>240</v>
      </c>
      <c r="H3" s="6" t="s">
        <v>241</v>
      </c>
      <c r="I3" s="6" t="s">
        <v>122</v>
      </c>
      <c r="J3" s="6" t="s">
        <v>242</v>
      </c>
    </row>
    <row r="4" customFormat="false" ht="15" hidden="false" customHeight="false" outlineLevel="0" collapsed="false">
      <c r="A4" s="7" t="s">
        <v>243</v>
      </c>
      <c r="B4" s="7" t="s">
        <v>122</v>
      </c>
      <c r="C4" s="7" t="s">
        <v>244</v>
      </c>
      <c r="D4" s="7" t="s">
        <v>245</v>
      </c>
      <c r="E4" s="7" t="s">
        <v>246</v>
      </c>
      <c r="F4" s="7" t="s">
        <v>247</v>
      </c>
      <c r="G4" s="7" t="s">
        <v>248</v>
      </c>
      <c r="H4" s="7" t="s">
        <v>249</v>
      </c>
      <c r="I4" s="7" t="s">
        <v>250</v>
      </c>
      <c r="J4" s="7" t="s">
        <v>251</v>
      </c>
    </row>
    <row r="5" customFormat="false" ht="15" hidden="false" customHeight="false" outlineLevel="0" collapsed="false">
      <c r="A5" s="6" t="s">
        <v>252</v>
      </c>
      <c r="B5" s="6" t="s">
        <v>130</v>
      </c>
      <c r="C5" s="6" t="s">
        <v>253</v>
      </c>
      <c r="D5" s="6" t="s">
        <v>254</v>
      </c>
      <c r="E5" s="6" t="s">
        <v>255</v>
      </c>
      <c r="F5" s="6" t="s">
        <v>98</v>
      </c>
      <c r="G5" s="6" t="s">
        <v>256</v>
      </c>
      <c r="H5" s="6" t="s">
        <v>257</v>
      </c>
      <c r="I5" s="6" t="s">
        <v>258</v>
      </c>
      <c r="J5" s="6" t="s">
        <v>259</v>
      </c>
    </row>
    <row r="6" customFormat="false" ht="15" hidden="false" customHeight="false" outlineLevel="0" collapsed="false">
      <c r="A6" s="7" t="s">
        <v>260</v>
      </c>
      <c r="B6" s="7" t="s">
        <v>261</v>
      </c>
      <c r="C6" s="7" t="s">
        <v>262</v>
      </c>
      <c r="D6" s="7" t="s">
        <v>263</v>
      </c>
      <c r="E6" s="7" t="s">
        <v>264</v>
      </c>
      <c r="F6" s="7" t="s">
        <v>265</v>
      </c>
      <c r="G6" s="7" t="s">
        <v>266</v>
      </c>
      <c r="H6" s="7" t="s">
        <v>267</v>
      </c>
      <c r="I6" s="7" t="s">
        <v>268</v>
      </c>
      <c r="J6" s="7" t="s">
        <v>242</v>
      </c>
    </row>
    <row r="7" customFormat="false" ht="15" hidden="false" customHeight="false" outlineLevel="0" collapsed="false">
      <c r="A7" s="6" t="s">
        <v>269</v>
      </c>
      <c r="B7" s="6" t="s">
        <v>147</v>
      </c>
      <c r="C7" s="6" t="s">
        <v>270</v>
      </c>
      <c r="D7" s="6" t="s">
        <v>271</v>
      </c>
      <c r="E7" s="6" t="s">
        <v>272</v>
      </c>
      <c r="F7" s="6" t="s">
        <v>273</v>
      </c>
      <c r="G7" s="6" t="s">
        <v>274</v>
      </c>
      <c r="H7" s="6" t="s">
        <v>275</v>
      </c>
      <c r="I7" s="6" t="s">
        <v>276</v>
      </c>
      <c r="J7" s="6" t="s">
        <v>180</v>
      </c>
    </row>
    <row r="8" customFormat="false" ht="15" hidden="false" customHeight="false" outlineLevel="0" collapsed="false">
      <c r="A8" s="7" t="s">
        <v>277</v>
      </c>
      <c r="B8" s="7" t="s">
        <v>151</v>
      </c>
      <c r="C8" s="7" t="s">
        <v>278</v>
      </c>
      <c r="D8" s="7" t="s">
        <v>279</v>
      </c>
      <c r="E8" s="7" t="s">
        <v>280</v>
      </c>
      <c r="F8" s="7" t="s">
        <v>281</v>
      </c>
      <c r="G8" s="7" t="s">
        <v>282</v>
      </c>
      <c r="H8" s="7" t="s">
        <v>283</v>
      </c>
      <c r="I8" s="7" t="s">
        <v>284</v>
      </c>
      <c r="J8" s="7" t="s">
        <v>242</v>
      </c>
    </row>
    <row r="9" customFormat="false" ht="15" hidden="false" customHeight="false" outlineLevel="0" collapsed="false">
      <c r="A9" s="6" t="s">
        <v>285</v>
      </c>
      <c r="B9" s="6" t="s">
        <v>286</v>
      </c>
      <c r="C9" s="6" t="s">
        <v>262</v>
      </c>
      <c r="D9" s="6" t="s">
        <v>287</v>
      </c>
      <c r="E9" s="6" t="s">
        <v>264</v>
      </c>
      <c r="F9" s="6" t="s">
        <v>265</v>
      </c>
      <c r="G9" s="6" t="s">
        <v>288</v>
      </c>
      <c r="H9" s="6" t="s">
        <v>289</v>
      </c>
      <c r="I9" s="6" t="s">
        <v>173</v>
      </c>
      <c r="J9" s="6" t="s">
        <v>290</v>
      </c>
    </row>
    <row r="10" customFormat="false" ht="15" hidden="false" customHeight="false" outlineLevel="0" collapsed="false">
      <c r="A10" s="7" t="s">
        <v>291</v>
      </c>
      <c r="B10" s="7" t="s">
        <v>170</v>
      </c>
      <c r="C10" s="7" t="s">
        <v>244</v>
      </c>
      <c r="D10" s="7" t="s">
        <v>292</v>
      </c>
      <c r="E10" s="7" t="s">
        <v>293</v>
      </c>
      <c r="F10" s="7" t="s">
        <v>247</v>
      </c>
      <c r="G10" s="7" t="s">
        <v>294</v>
      </c>
      <c r="H10" s="7" t="s">
        <v>295</v>
      </c>
      <c r="I10" s="7" t="s">
        <v>296</v>
      </c>
      <c r="J10" s="7" t="s">
        <v>242</v>
      </c>
    </row>
    <row r="11" customFormat="false" ht="22.35" hidden="false" customHeight="false" outlineLevel="0" collapsed="false">
      <c r="A11" s="6" t="s">
        <v>297</v>
      </c>
      <c r="B11" s="6" t="s">
        <v>173</v>
      </c>
      <c r="C11" s="6" t="s">
        <v>270</v>
      </c>
      <c r="D11" s="6" t="s">
        <v>298</v>
      </c>
      <c r="E11" s="6" t="s">
        <v>299</v>
      </c>
      <c r="F11" s="6" t="s">
        <v>300</v>
      </c>
      <c r="G11" s="6" t="s">
        <v>301</v>
      </c>
      <c r="H11" s="6" t="s">
        <v>302</v>
      </c>
      <c r="I11" s="6" t="s">
        <v>303</v>
      </c>
      <c r="J11" s="6" t="s">
        <v>101</v>
      </c>
    </row>
    <row r="12" customFormat="false" ht="15" hidden="false" customHeight="false" outlineLevel="0" collapsed="false">
      <c r="A12" s="7" t="s">
        <v>304</v>
      </c>
      <c r="B12" s="7" t="s">
        <v>173</v>
      </c>
      <c r="C12" s="7" t="s">
        <v>305</v>
      </c>
      <c r="D12" s="7" t="s">
        <v>306</v>
      </c>
      <c r="E12" s="7" t="s">
        <v>307</v>
      </c>
      <c r="F12" s="7" t="s">
        <v>239</v>
      </c>
      <c r="G12" s="7" t="s">
        <v>308</v>
      </c>
      <c r="H12" s="7" t="s">
        <v>309</v>
      </c>
      <c r="I12" s="7" t="s">
        <v>303</v>
      </c>
      <c r="J12" s="7" t="s">
        <v>259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2026-06-05T02:53:00Z</dcterms:created>
  <dc:creator>openpyxl</dc:creator>
  <dc:description/>
  <dc:language>en-US</dc:language>
  <cp:lastModifiedBy/>
  <dcterms:modified xsi:type="dcterms:W3CDTF">2026-06-05T02:53:00Z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